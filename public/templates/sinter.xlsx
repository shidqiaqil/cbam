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TKP-USER\Downloads\"/>
    </mc:Choice>
  </mc:AlternateContent>
  <bookViews>
    <workbookView xWindow="0" yWindow="0" windowWidth="24000" windowHeight="9435"/>
  </bookViews>
  <sheets>
    <sheet name="Sinter" sheetId="1" r:id="rId1"/>
  </sheets>
  <externalReferences>
    <externalReference r:id="rId2"/>
  </externalReferences>
  <definedNames>
    <definedName name="CONST_MonitoringApproach">[1]Parameters_Constants!$B$56:$D$56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5" i="1" l="1"/>
</calcChain>
</file>

<file path=xl/sharedStrings.xml><?xml version="1.0" encoding="utf-8"?>
<sst xmlns="http://schemas.openxmlformats.org/spreadsheetml/2006/main" count="124" uniqueCount="69">
  <si>
    <t>Classification</t>
  </si>
  <si>
    <t>The First Half Year</t>
  </si>
  <si>
    <t>The Second Half Year</t>
  </si>
  <si>
    <t>Year Total Sum</t>
  </si>
  <si>
    <t>1 Mon.</t>
  </si>
  <si>
    <t>2 Mon.</t>
  </si>
  <si>
    <t>3 Mon.</t>
  </si>
  <si>
    <t>S. Tot.</t>
  </si>
  <si>
    <t>4 Mon.</t>
  </si>
  <si>
    <t>5 Mon.</t>
  </si>
  <si>
    <t>6 Mon.</t>
  </si>
  <si>
    <t>7 Mon.</t>
  </si>
  <si>
    <t>8 Mon.</t>
  </si>
  <si>
    <t>9Mon.</t>
  </si>
  <si>
    <t>10 Mon.</t>
  </si>
  <si>
    <t>11 Mon.</t>
  </si>
  <si>
    <t>12 Mon.</t>
  </si>
  <si>
    <t>AAF01</t>
  </si>
  <si>
    <t>ADT.F</t>
  </si>
  <si>
    <t>BLK.F</t>
  </si>
  <si>
    <t>BMI.F</t>
  </si>
  <si>
    <t>BRB.F</t>
  </si>
  <si>
    <t>GMK.F</t>
  </si>
  <si>
    <t>IMC.F</t>
  </si>
  <si>
    <t>KTM.F</t>
  </si>
  <si>
    <t>AAF02</t>
  </si>
  <si>
    <t>ATR.F</t>
  </si>
  <si>
    <t>ATS.F</t>
  </si>
  <si>
    <t>IMI.F</t>
  </si>
  <si>
    <t>AAF04</t>
  </si>
  <si>
    <t>BBR.F</t>
  </si>
  <si>
    <t>KIN.F</t>
  </si>
  <si>
    <t>YAN.F</t>
  </si>
  <si>
    <t>AAF05</t>
  </si>
  <si>
    <t>MAC.F</t>
  </si>
  <si>
    <t>ROH.F</t>
  </si>
  <si>
    <t>AAP01</t>
  </si>
  <si>
    <t>SVR.P</t>
  </si>
  <si>
    <t>EF1A9</t>
  </si>
  <si>
    <t>BBR.U</t>
  </si>
  <si>
    <t>MAC.U</t>
  </si>
  <si>
    <t>EF8A0001</t>
  </si>
  <si>
    <t>Iron ore</t>
  </si>
  <si>
    <t>ACL08</t>
  </si>
  <si>
    <t>LMF.DWM</t>
  </si>
  <si>
    <t>ACL12</t>
  </si>
  <si>
    <t>C09.DCC</t>
  </si>
  <si>
    <t>ACL15</t>
  </si>
  <si>
    <t>C02.DKP</t>
  </si>
  <si>
    <t>AXC02</t>
  </si>
  <si>
    <t>DUST(MP)</t>
  </si>
  <si>
    <t>Sub-Ore</t>
  </si>
  <si>
    <t>New Raw Material</t>
  </si>
  <si>
    <t>EF1NA</t>
  </si>
  <si>
    <t>EF1NA.P1</t>
  </si>
  <si>
    <t>EF1NA.P2</t>
  </si>
  <si>
    <t>Return Ore</t>
  </si>
  <si>
    <t>ABA02</t>
  </si>
  <si>
    <t>M.PE</t>
  </si>
  <si>
    <t>P.PE</t>
  </si>
  <si>
    <t>S.SA</t>
  </si>
  <si>
    <t>T.PE</t>
  </si>
  <si>
    <t>V.SI</t>
  </si>
  <si>
    <t>ABK02</t>
  </si>
  <si>
    <t>M.B</t>
  </si>
  <si>
    <t>EF8T0001</t>
  </si>
  <si>
    <t>Bonding Material</t>
  </si>
  <si>
    <t>Sub Class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</si>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</sst>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3B3B3B"/>
      <name val="Verdana"/>
      <family val="2"/>
    </font>
    <font>
      <sz val="9"/>
      <color rgb="FF0000FF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3CDEE"/>
        <bgColor indexed="64"/>
      </patternFill>
    </fill>
    <fill>
      <patternFill patternType="solid">
        <fgColor rgb="FFD8E9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BBBBBB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/>
    <xf numFmtId="0" fontId="3" fillId="4" borderId="5" xfId="0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5" borderId="5" xfId="0" applyFont="1" applyFill="1" applyBorder="1" applyAlignment="1">
      <alignment horizontal="center" wrapText="1"/>
    </xf>
    <xf numFmtId="164" fontId="2" fillId="6" borderId="0" xfId="0" applyNumberFormat="1" applyFont="1" applyFill="1"/>
    <xf numFmtId="0" fontId="3" fillId="3" borderId="1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4" fillId="7" borderId="2" xfId="0" applyFont="1" applyFill="1" applyBorder="1" applyAlignment="1">
      <alignment wrapText="1"/>
    </xf>
    <xf numFmtId="0" fontId="4" fillId="8" borderId="2" xfId="0" applyFont="1" applyFill="1" applyBorder="1" applyAlignment="1">
      <alignment wrapText="1"/>
    </xf>
    <xf numFmtId="0" fontId="4" fillId="8" borderId="3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43" fontId="3" fillId="2" borderId="5" xfId="1" applyNumberFormat="1" applyFont="1" applyFill="1" applyBorder="1" applyAlignment="1">
      <alignment horizontal="right" wrapText="1"/>
    </xf>
    <xf numFmtId="43" fontId="4" fillId="5" borderId="5" xfId="1" applyNumberFormat="1" applyFont="1" applyFill="1" applyBorder="1" applyAlignment="1">
      <alignment horizontal="right" wrapText="1"/>
    </xf>
    <xf numFmtId="43" fontId="4" fillId="7" borderId="5" xfId="1" applyNumberFormat="1" applyFont="1" applyFill="1" applyBorder="1" applyAlignment="1">
      <alignment horizontal="right" wrapText="1"/>
    </xf>
    <xf numFmtId="43" fontId="4" fillId="8" borderId="5" xfId="1" applyNumberFormat="1" applyFont="1" applyFill="1" applyBorder="1" applyAlignment="1">
      <alignment horizontal="righ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1.28.124\ENERGY%20BALANCE%20WORK\Energy%20Analysis\GHG\2025\CBAM\Refference\CBAM%20Report\CBAM%20communication%20template%20for%20installation%20HRC%20ISO14404-1%20EF%20%202023%20(Update%20Data%20Oct%2018%202024)%20+%20Slab%20Inform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_Versions"/>
      <sheetName val="a_Contents"/>
      <sheetName val="b_Guidelines&amp;Conditions"/>
      <sheetName val="c_CodeLists"/>
      <sheetName val="A_InstData"/>
      <sheetName val="B_EmInst"/>
      <sheetName val="C_Emissions&amp;Energy"/>
      <sheetName val="D_Processes"/>
      <sheetName val="E_PurchPrec"/>
      <sheetName val="F_Tools"/>
      <sheetName val="G_FurtherGuidance"/>
      <sheetName val="Summary_Processes"/>
      <sheetName val="Summary_Products"/>
      <sheetName val="Summary_Communication"/>
      <sheetName val="InputOutput"/>
      <sheetName val="Parameters_Constants"/>
      <sheetName val="Parameters_CNCodes"/>
      <sheetName val="Translations"/>
      <sheetName val="VersionDocument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56">
          <cell r="B56" t="str">
            <v>Combustion</v>
          </cell>
          <cell r="C56" t="str">
            <v>Process emissions</v>
          </cell>
          <cell r="D56" t="str">
            <v>Mass Balance</v>
          </cell>
        </row>
      </sheetData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3"/>
  <sheetViews>
    <sheetView showGridLines="0" tabSelected="1" zoomScale="85" zoomScaleNormal="85" workbookViewId="0">
      <selection activeCell="C2" sqref="C2:U53"/>
    </sheetView>
  </sheetViews>
  <sheetFormatPr defaultRowHeight="15" x14ac:dyDescent="0.25"/>
  <cols>
    <col min="1" max="1" width="33.5703125" style="1" bestFit="1" customWidth="1"/>
    <col min="2" max="2" width="10" style="1" bestFit="1" customWidth="1"/>
    <col min="3" max="5" width="12.5703125" style="1" bestFit="1" customWidth="1"/>
    <col min="6" max="6" width="14.28515625" style="1" hidden="1" customWidth="1"/>
    <col min="7" max="9" width="12.5703125" style="1" bestFit="1" customWidth="1"/>
    <col min="10" max="10" width="14.28515625" style="1" hidden="1" customWidth="1"/>
    <col min="11" max="13" width="12.5703125" style="1" bestFit="1" customWidth="1"/>
    <col min="14" max="14" width="14.28515625" style="1" hidden="1" customWidth="1"/>
    <col min="15" max="17" width="12.5703125" style="1" bestFit="1" customWidth="1"/>
    <col min="18" max="18" width="14.28515625" style="1" hidden="1" customWidth="1"/>
    <col min="19" max="19" width="17.7109375" style="1" bestFit="1" customWidth="1"/>
    <col min="20" max="20" width="20.42578125" style="1" bestFit="1" customWidth="1"/>
    <col min="21" max="21" width="14.7109375" style="1" bestFit="1" customWidth="1"/>
    <col min="22" max="22" width="10.5703125" style="1" bestFit="1" customWidth="1"/>
    <col min="23" max="16384" width="9.140625" style="1"/>
  </cols>
  <sheetData>
    <row r="1" spans="1:21" ht="13.5" customHeight="1" x14ac:dyDescent="0.25">
      <c r="A1" s="6" t="s">
        <v>0</v>
      </c>
      <c r="B1" s="6" t="s">
        <v>67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7</v>
      </c>
      <c r="K1" s="2" t="s">
        <v>11</v>
      </c>
      <c r="L1" s="2" t="s">
        <v>12</v>
      </c>
      <c r="M1" s="2" t="s">
        <v>13</v>
      </c>
      <c r="N1" s="2" t="s">
        <v>7</v>
      </c>
      <c r="O1" s="2" t="s">
        <v>14</v>
      </c>
      <c r="P1" s="2" t="s">
        <v>15</v>
      </c>
      <c r="Q1" s="2" t="s">
        <v>16</v>
      </c>
      <c r="R1" s="2" t="s">
        <v>7</v>
      </c>
      <c r="S1" s="11" t="s">
        <v>1</v>
      </c>
      <c r="T1" s="11" t="s">
        <v>2</v>
      </c>
      <c r="U1" s="11" t="s">
        <v>3</v>
      </c>
    </row>
    <row r="2" spans="1:21" x14ac:dyDescent="0.25">
      <c r="A2" s="7" t="s">
        <v>17</v>
      </c>
      <c r="B2" s="3" t="s">
        <v>18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>
        <v>669.95399999999995</v>
      </c>
      <c r="N2" s="12">
        <v>669.95399999999995</v>
      </c>
      <c r="O2" s="12"/>
      <c r="P2" s="12">
        <v>3707.4740000000002</v>
      </c>
      <c r="Q2" s="12">
        <v>3651.9589999999998</v>
      </c>
      <c r="R2" s="12">
        <v>7359.433</v>
      </c>
      <c r="S2" s="12"/>
      <c r="T2" s="12">
        <v>8029.3869999999997</v>
      </c>
      <c r="U2" s="12">
        <v>8029.3869999999997</v>
      </c>
    </row>
    <row r="3" spans="1:21" x14ac:dyDescent="0.25">
      <c r="A3" s="7" t="s">
        <v>17</v>
      </c>
      <c r="B3" s="3" t="s">
        <v>19</v>
      </c>
      <c r="C3" s="12">
        <v>23084.385999999999</v>
      </c>
      <c r="D3" s="12">
        <v>5519.2809999999999</v>
      </c>
      <c r="E3" s="12"/>
      <c r="F3" s="12">
        <v>28603.667000000001</v>
      </c>
      <c r="G3" s="12"/>
      <c r="H3" s="12"/>
      <c r="I3" s="12"/>
      <c r="J3" s="12"/>
      <c r="K3" s="12">
        <v>10141.666999999999</v>
      </c>
      <c r="L3" s="12">
        <v>25226.240000000002</v>
      </c>
      <c r="M3" s="12">
        <v>14548.581</v>
      </c>
      <c r="N3" s="12">
        <v>49916.487999999998</v>
      </c>
      <c r="O3" s="12">
        <v>1281.893</v>
      </c>
      <c r="P3" s="12">
        <v>500.38799999999998</v>
      </c>
      <c r="Q3" s="12"/>
      <c r="R3" s="12">
        <v>1782.2809999999999</v>
      </c>
      <c r="S3" s="12">
        <v>28603.667000000001</v>
      </c>
      <c r="T3" s="12">
        <v>51698.769</v>
      </c>
      <c r="U3" s="12">
        <v>80302.436000000002</v>
      </c>
    </row>
    <row r="4" spans="1:21" x14ac:dyDescent="0.25">
      <c r="A4" s="7" t="s">
        <v>17</v>
      </c>
      <c r="B4" s="3" t="s">
        <v>20</v>
      </c>
      <c r="C4" s="12"/>
      <c r="D4" s="12">
        <v>5326.9160000000002</v>
      </c>
      <c r="E4" s="12">
        <v>1683.548</v>
      </c>
      <c r="F4" s="12">
        <v>7010.4639999999999</v>
      </c>
      <c r="G4" s="12">
        <v>7791.4409999999998</v>
      </c>
      <c r="H4" s="12">
        <v>8012.3890000000001</v>
      </c>
      <c r="I4" s="12">
        <v>11841.21</v>
      </c>
      <c r="J4" s="12">
        <v>27645.040000000001</v>
      </c>
      <c r="K4" s="12">
        <v>4050.0039999999999</v>
      </c>
      <c r="L4" s="12">
        <v>4818.9769999999999</v>
      </c>
      <c r="M4" s="12">
        <v>6735.1660000000002</v>
      </c>
      <c r="N4" s="12">
        <v>15604.147000000001</v>
      </c>
      <c r="O4" s="12">
        <v>11629.272000000001</v>
      </c>
      <c r="P4" s="12">
        <v>9159.59</v>
      </c>
      <c r="Q4" s="12">
        <v>8482.3179999999993</v>
      </c>
      <c r="R4" s="12">
        <v>29271.18</v>
      </c>
      <c r="S4" s="12">
        <v>34655.504000000001</v>
      </c>
      <c r="T4" s="12">
        <v>44875.326999999997</v>
      </c>
      <c r="U4" s="12">
        <v>79530.831000000006</v>
      </c>
    </row>
    <row r="5" spans="1:21" x14ac:dyDescent="0.25">
      <c r="A5" s="7" t="s">
        <v>17</v>
      </c>
      <c r="B5" s="3" t="s">
        <v>21</v>
      </c>
      <c r="C5" s="12"/>
      <c r="D5" s="12"/>
      <c r="E5" s="12">
        <v>4580.3130000000001</v>
      </c>
      <c r="F5" s="12">
        <v>4580.3130000000001</v>
      </c>
      <c r="G5" s="12">
        <v>21222.486000000001</v>
      </c>
      <c r="H5" s="12">
        <v>35248.008999999998</v>
      </c>
      <c r="I5" s="12">
        <v>24417.812000000002</v>
      </c>
      <c r="J5" s="12">
        <v>80888.307000000001</v>
      </c>
      <c r="K5" s="12"/>
      <c r="L5" s="12"/>
      <c r="M5" s="12"/>
      <c r="N5" s="12"/>
      <c r="O5" s="12"/>
      <c r="P5" s="12"/>
      <c r="Q5" s="12"/>
      <c r="R5" s="12"/>
      <c r="S5" s="12">
        <v>85468.62</v>
      </c>
      <c r="T5" s="12"/>
      <c r="U5" s="12">
        <v>85468.62</v>
      </c>
    </row>
    <row r="6" spans="1:21" x14ac:dyDescent="0.25">
      <c r="A6" s="7" t="s">
        <v>17</v>
      </c>
      <c r="B6" s="3" t="s">
        <v>22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>
        <v>17487.579000000002</v>
      </c>
      <c r="P6" s="12">
        <v>710.74199999999996</v>
      </c>
      <c r="Q6" s="12"/>
      <c r="R6" s="12">
        <v>18198.321</v>
      </c>
      <c r="S6" s="12"/>
      <c r="T6" s="12">
        <v>18198.321</v>
      </c>
      <c r="U6" s="12">
        <v>18198.321</v>
      </c>
    </row>
    <row r="7" spans="1:21" x14ac:dyDescent="0.25">
      <c r="A7" s="7" t="s">
        <v>17</v>
      </c>
      <c r="B7" s="3" t="s">
        <v>23</v>
      </c>
      <c r="C7" s="12">
        <v>9546.2630000000008</v>
      </c>
      <c r="D7" s="12">
        <v>21578.881000000001</v>
      </c>
      <c r="E7" s="12">
        <v>21881.179</v>
      </c>
      <c r="F7" s="12">
        <v>53006.322999999997</v>
      </c>
      <c r="G7" s="12">
        <v>1002.3049999999999</v>
      </c>
      <c r="H7" s="12"/>
      <c r="I7" s="12"/>
      <c r="J7" s="12">
        <v>1002.3049999999999</v>
      </c>
      <c r="K7" s="12">
        <v>3566.4009999999998</v>
      </c>
      <c r="L7" s="12">
        <v>10463.94</v>
      </c>
      <c r="M7" s="12"/>
      <c r="N7" s="12">
        <v>14030.341</v>
      </c>
      <c r="O7" s="12"/>
      <c r="P7" s="12"/>
      <c r="Q7" s="12"/>
      <c r="R7" s="12"/>
      <c r="S7" s="12">
        <v>54008.627999999997</v>
      </c>
      <c r="T7" s="12">
        <v>14030.341</v>
      </c>
      <c r="U7" s="12">
        <v>68038.968999999997</v>
      </c>
    </row>
    <row r="8" spans="1:21" x14ac:dyDescent="0.25">
      <c r="A8" s="7" t="s">
        <v>17</v>
      </c>
      <c r="B8" s="3" t="s">
        <v>24</v>
      </c>
      <c r="C8" s="12"/>
      <c r="D8" s="12">
        <v>4660.7860000000001</v>
      </c>
      <c r="E8" s="12">
        <v>2486.86</v>
      </c>
      <c r="F8" s="12">
        <v>7147.6459999999997</v>
      </c>
      <c r="G8" s="12"/>
      <c r="H8" s="12"/>
      <c r="I8" s="12"/>
      <c r="J8" s="12"/>
      <c r="K8" s="12"/>
      <c r="L8" s="12"/>
      <c r="M8" s="12"/>
      <c r="N8" s="12"/>
      <c r="O8" s="12">
        <v>141.00700000000001</v>
      </c>
      <c r="P8" s="12">
        <v>2843.8780000000002</v>
      </c>
      <c r="Q8" s="12"/>
      <c r="R8" s="12">
        <v>2984.8850000000002</v>
      </c>
      <c r="S8" s="12">
        <v>7147.6459999999997</v>
      </c>
      <c r="T8" s="12">
        <v>2984.8850000000002</v>
      </c>
      <c r="U8" s="12">
        <v>10132.531000000001</v>
      </c>
    </row>
    <row r="9" spans="1:21" x14ac:dyDescent="0.25">
      <c r="A9" s="7" t="s">
        <v>17</v>
      </c>
      <c r="B9" s="4" t="s">
        <v>68</v>
      </c>
      <c r="C9" s="13">
        <v>32630.649000000001</v>
      </c>
      <c r="D9" s="13">
        <v>37085.864000000001</v>
      </c>
      <c r="E9" s="13">
        <v>30631.9</v>
      </c>
      <c r="F9" s="13">
        <v>100348.413</v>
      </c>
      <c r="G9" s="13">
        <v>30016.232</v>
      </c>
      <c r="H9" s="13">
        <v>43260.398000000001</v>
      </c>
      <c r="I9" s="13">
        <v>36259.021999999997</v>
      </c>
      <c r="J9" s="13">
        <v>109535.652</v>
      </c>
      <c r="K9" s="13">
        <v>17758.072</v>
      </c>
      <c r="L9" s="13">
        <v>40509.156999999999</v>
      </c>
      <c r="M9" s="13">
        <v>21953.701000000001</v>
      </c>
      <c r="N9" s="13">
        <v>80220.929999999993</v>
      </c>
      <c r="O9" s="13">
        <v>30539.751</v>
      </c>
      <c r="P9" s="13">
        <v>16922.072</v>
      </c>
      <c r="Q9" s="13">
        <v>12134.277</v>
      </c>
      <c r="R9" s="13">
        <v>59596.1</v>
      </c>
      <c r="S9" s="13">
        <v>209884.065</v>
      </c>
      <c r="T9" s="13">
        <v>139817.03</v>
      </c>
      <c r="U9" s="13">
        <v>349701.09499999997</v>
      </c>
    </row>
    <row r="10" spans="1:21" x14ac:dyDescent="0.25">
      <c r="A10" s="7" t="s">
        <v>25</v>
      </c>
      <c r="B10" s="3" t="s">
        <v>26</v>
      </c>
      <c r="C10" s="12">
        <v>6669.4989999999998</v>
      </c>
      <c r="D10" s="12">
        <v>1723.0450000000001</v>
      </c>
      <c r="E10" s="12"/>
      <c r="F10" s="12">
        <v>8392.5439999999999</v>
      </c>
      <c r="G10" s="12"/>
      <c r="H10" s="12">
        <v>3537.9380000000001</v>
      </c>
      <c r="I10" s="12">
        <v>5443.5129999999999</v>
      </c>
      <c r="J10" s="12">
        <v>8981.4509999999991</v>
      </c>
      <c r="K10" s="12"/>
      <c r="L10" s="12"/>
      <c r="M10" s="12"/>
      <c r="N10" s="12"/>
      <c r="O10" s="12"/>
      <c r="P10" s="12"/>
      <c r="Q10" s="12"/>
      <c r="R10" s="12"/>
      <c r="S10" s="12">
        <v>17373.994999999999</v>
      </c>
      <c r="T10" s="12"/>
      <c r="U10" s="12">
        <v>17373.994999999999</v>
      </c>
    </row>
    <row r="11" spans="1:21" x14ac:dyDescent="0.25">
      <c r="A11" s="7" t="s">
        <v>25</v>
      </c>
      <c r="B11" s="3" t="s">
        <v>27</v>
      </c>
      <c r="C11" s="12"/>
      <c r="D11" s="12"/>
      <c r="E11" s="12"/>
      <c r="F11" s="12"/>
      <c r="G11" s="12"/>
      <c r="H11" s="12">
        <v>1929.4280000000001</v>
      </c>
      <c r="I11" s="12"/>
      <c r="J11" s="12">
        <v>1929.4280000000001</v>
      </c>
      <c r="K11" s="12"/>
      <c r="L11" s="12"/>
      <c r="M11" s="12"/>
      <c r="N11" s="12"/>
      <c r="O11" s="12"/>
      <c r="P11" s="12"/>
      <c r="Q11" s="12"/>
      <c r="R11" s="12"/>
      <c r="S11" s="12">
        <v>1929.4280000000001</v>
      </c>
      <c r="T11" s="12"/>
      <c r="U11" s="12">
        <v>1929.4280000000001</v>
      </c>
    </row>
    <row r="12" spans="1:21" x14ac:dyDescent="0.25">
      <c r="A12" s="7" t="s">
        <v>25</v>
      </c>
      <c r="B12" s="3" t="s">
        <v>28</v>
      </c>
      <c r="C12" s="12">
        <v>25027.522000000001</v>
      </c>
      <c r="D12" s="12">
        <v>10496.196</v>
      </c>
      <c r="E12" s="12">
        <v>12452.853999999999</v>
      </c>
      <c r="F12" s="12">
        <v>47976.572</v>
      </c>
      <c r="G12" s="12">
        <v>9624.7990000000009</v>
      </c>
      <c r="H12" s="12">
        <v>1085.193</v>
      </c>
      <c r="I12" s="12">
        <v>15611.615</v>
      </c>
      <c r="J12" s="12">
        <v>26321.607</v>
      </c>
      <c r="K12" s="12">
        <v>26838.083999999999</v>
      </c>
      <c r="L12" s="12">
        <v>10016.48</v>
      </c>
      <c r="M12" s="12">
        <v>3311.2550000000001</v>
      </c>
      <c r="N12" s="12">
        <v>40165.819000000003</v>
      </c>
      <c r="O12" s="12">
        <v>18846.728999999999</v>
      </c>
      <c r="P12" s="12">
        <v>28942.54</v>
      </c>
      <c r="Q12" s="12">
        <v>24159.447</v>
      </c>
      <c r="R12" s="12">
        <v>71948.716</v>
      </c>
      <c r="S12" s="12">
        <v>74298.179000000004</v>
      </c>
      <c r="T12" s="12">
        <v>112114.535</v>
      </c>
      <c r="U12" s="12">
        <v>186412.71400000001</v>
      </c>
    </row>
    <row r="13" spans="1:21" x14ac:dyDescent="0.25">
      <c r="A13" s="7" t="s">
        <v>25</v>
      </c>
      <c r="B13" s="4" t="s">
        <v>68</v>
      </c>
      <c r="C13" s="13">
        <v>31697.021000000001</v>
      </c>
      <c r="D13" s="13">
        <v>12219.241</v>
      </c>
      <c r="E13" s="13">
        <v>12452.853999999999</v>
      </c>
      <c r="F13" s="13">
        <v>56369.116000000002</v>
      </c>
      <c r="G13" s="13">
        <v>9624.7990000000009</v>
      </c>
      <c r="H13" s="13">
        <v>6552.5590000000002</v>
      </c>
      <c r="I13" s="13">
        <v>21055.128000000001</v>
      </c>
      <c r="J13" s="13">
        <v>37232.485999999997</v>
      </c>
      <c r="K13" s="13">
        <v>26838.083999999999</v>
      </c>
      <c r="L13" s="13">
        <v>10016.48</v>
      </c>
      <c r="M13" s="13">
        <v>3311.2550000000001</v>
      </c>
      <c r="N13" s="13">
        <v>40165.819000000003</v>
      </c>
      <c r="O13" s="13">
        <v>18846.728999999999</v>
      </c>
      <c r="P13" s="13">
        <v>28942.54</v>
      </c>
      <c r="Q13" s="13">
        <v>24159.447</v>
      </c>
      <c r="R13" s="13">
        <v>71948.716</v>
      </c>
      <c r="S13" s="13">
        <v>93601.601999999999</v>
      </c>
      <c r="T13" s="13">
        <v>112114.535</v>
      </c>
      <c r="U13" s="13">
        <v>205716.13699999999</v>
      </c>
    </row>
    <row r="14" spans="1:21" x14ac:dyDescent="0.25">
      <c r="A14" s="7" t="s">
        <v>29</v>
      </c>
      <c r="B14" s="3" t="s">
        <v>30</v>
      </c>
      <c r="C14" s="12"/>
      <c r="D14" s="12"/>
      <c r="E14" s="12"/>
      <c r="F14" s="12"/>
      <c r="G14" s="12">
        <v>297.99799999999999</v>
      </c>
      <c r="H14" s="12">
        <v>3956.346</v>
      </c>
      <c r="I14" s="12"/>
      <c r="J14" s="12">
        <v>4254.3440000000001</v>
      </c>
      <c r="K14" s="12"/>
      <c r="L14" s="12"/>
      <c r="M14" s="12"/>
      <c r="N14" s="12"/>
      <c r="O14" s="12">
        <v>4217.6480000000001</v>
      </c>
      <c r="P14" s="12"/>
      <c r="Q14" s="12"/>
      <c r="R14" s="12">
        <v>4217.6480000000001</v>
      </c>
      <c r="S14" s="12">
        <v>4254.3440000000001</v>
      </c>
      <c r="T14" s="12">
        <v>4217.6480000000001</v>
      </c>
      <c r="U14" s="12">
        <v>8471.9920000000002</v>
      </c>
    </row>
    <row r="15" spans="1:21" x14ac:dyDescent="0.25">
      <c r="A15" s="7" t="s">
        <v>29</v>
      </c>
      <c r="B15" s="3" t="s">
        <v>31</v>
      </c>
      <c r="C15" s="12">
        <v>126874.836</v>
      </c>
      <c r="D15" s="12">
        <v>134208.49100000001</v>
      </c>
      <c r="E15" s="12">
        <v>164640.75099999999</v>
      </c>
      <c r="F15" s="12">
        <v>425724.07799999998</v>
      </c>
      <c r="G15" s="12">
        <v>197179.98699999999</v>
      </c>
      <c r="H15" s="12">
        <v>175074.93900000001</v>
      </c>
      <c r="I15" s="12">
        <v>156465.601</v>
      </c>
      <c r="J15" s="12">
        <v>528720.527</v>
      </c>
      <c r="K15" s="12">
        <v>150855.60699999999</v>
      </c>
      <c r="L15" s="12">
        <v>162716.28099999999</v>
      </c>
      <c r="M15" s="12">
        <v>158684.307</v>
      </c>
      <c r="N15" s="12">
        <v>472256.19500000001</v>
      </c>
      <c r="O15" s="12">
        <v>143288.46100000001</v>
      </c>
      <c r="P15" s="12">
        <v>175827.32399999999</v>
      </c>
      <c r="Q15" s="12">
        <v>169173.261</v>
      </c>
      <c r="R15" s="12">
        <v>488289.04599999997</v>
      </c>
      <c r="S15" s="12">
        <v>954444.60499999998</v>
      </c>
      <c r="T15" s="12">
        <v>960545.24100000004</v>
      </c>
      <c r="U15" s="12">
        <v>1914989.8459999999</v>
      </c>
    </row>
    <row r="16" spans="1:21" x14ac:dyDescent="0.25">
      <c r="A16" s="7" t="s">
        <v>29</v>
      </c>
      <c r="B16" s="3" t="s">
        <v>32</v>
      </c>
      <c r="C16" s="12">
        <v>69496.017999999996</v>
      </c>
      <c r="D16" s="12">
        <v>80396.013000000006</v>
      </c>
      <c r="E16" s="12">
        <v>98629.691999999995</v>
      </c>
      <c r="F16" s="12">
        <v>248521.723</v>
      </c>
      <c r="G16" s="12">
        <v>77498.319000000003</v>
      </c>
      <c r="H16" s="12">
        <v>58805.858</v>
      </c>
      <c r="I16" s="12">
        <v>85345.982999999993</v>
      </c>
      <c r="J16" s="12">
        <v>221650.16</v>
      </c>
      <c r="K16" s="12">
        <v>85130.285000000003</v>
      </c>
      <c r="L16" s="12">
        <v>81489.600000000006</v>
      </c>
      <c r="M16" s="12">
        <v>66816.459000000003</v>
      </c>
      <c r="N16" s="12">
        <v>233436.34400000001</v>
      </c>
      <c r="O16" s="12">
        <v>95764.892000000007</v>
      </c>
      <c r="P16" s="12">
        <v>52361.303</v>
      </c>
      <c r="Q16" s="12">
        <v>62643.517</v>
      </c>
      <c r="R16" s="12">
        <v>210769.712</v>
      </c>
      <c r="S16" s="12">
        <v>470171.88299999997</v>
      </c>
      <c r="T16" s="12">
        <v>444206.05599999998</v>
      </c>
      <c r="U16" s="12">
        <v>914377.93900000001</v>
      </c>
    </row>
    <row r="17" spans="1:22" x14ac:dyDescent="0.25">
      <c r="A17" s="7" t="s">
        <v>29</v>
      </c>
      <c r="B17" s="4" t="s">
        <v>68</v>
      </c>
      <c r="C17" s="13">
        <v>196370.85399999999</v>
      </c>
      <c r="D17" s="13">
        <v>214604.50399999999</v>
      </c>
      <c r="E17" s="13">
        <v>263270.44300000003</v>
      </c>
      <c r="F17" s="13">
        <v>674245.80099999998</v>
      </c>
      <c r="G17" s="13">
        <v>274976.304</v>
      </c>
      <c r="H17" s="13">
        <v>237837.14300000001</v>
      </c>
      <c r="I17" s="13">
        <v>241811.584</v>
      </c>
      <c r="J17" s="13">
        <v>754625.03099999996</v>
      </c>
      <c r="K17" s="13">
        <v>235985.89199999999</v>
      </c>
      <c r="L17" s="13">
        <v>244205.88099999999</v>
      </c>
      <c r="M17" s="13">
        <v>225500.766</v>
      </c>
      <c r="N17" s="13">
        <v>705692.53899999999</v>
      </c>
      <c r="O17" s="13">
        <v>243271.00099999999</v>
      </c>
      <c r="P17" s="13">
        <v>228188.62700000001</v>
      </c>
      <c r="Q17" s="13">
        <v>231816.77799999999</v>
      </c>
      <c r="R17" s="13">
        <v>703276.40599999996</v>
      </c>
      <c r="S17" s="13">
        <v>1428870.8319999999</v>
      </c>
      <c r="T17" s="13">
        <v>1408968.9450000001</v>
      </c>
      <c r="U17" s="13">
        <v>2837839.7769999998</v>
      </c>
    </row>
    <row r="18" spans="1:22" x14ac:dyDescent="0.25">
      <c r="A18" s="7" t="s">
        <v>33</v>
      </c>
      <c r="B18" s="3" t="s">
        <v>34</v>
      </c>
      <c r="C18" s="12">
        <v>12816.118</v>
      </c>
      <c r="D18" s="12">
        <v>20060.853999999999</v>
      </c>
      <c r="E18" s="12">
        <v>23943.941999999999</v>
      </c>
      <c r="F18" s="12">
        <v>56820.913999999997</v>
      </c>
      <c r="G18" s="12">
        <v>15491.928</v>
      </c>
      <c r="H18" s="12">
        <v>21445.085999999999</v>
      </c>
      <c r="I18" s="12">
        <v>15104.356</v>
      </c>
      <c r="J18" s="12">
        <v>52041.37</v>
      </c>
      <c r="K18" s="12">
        <v>11614.425999999999</v>
      </c>
      <c r="L18" s="12">
        <v>17443.91</v>
      </c>
      <c r="M18" s="12">
        <v>29218.332999999999</v>
      </c>
      <c r="N18" s="12">
        <v>58276.669000000002</v>
      </c>
      <c r="O18" s="12">
        <v>18548.457999999999</v>
      </c>
      <c r="P18" s="12">
        <v>37351.337</v>
      </c>
      <c r="Q18" s="12">
        <v>40096.517</v>
      </c>
      <c r="R18" s="12">
        <v>95996.312000000005</v>
      </c>
      <c r="S18" s="12">
        <v>108862.284</v>
      </c>
      <c r="T18" s="12">
        <v>154272.981</v>
      </c>
      <c r="U18" s="12">
        <v>263135.26500000001</v>
      </c>
    </row>
    <row r="19" spans="1:22" x14ac:dyDescent="0.25">
      <c r="A19" s="7" t="s">
        <v>33</v>
      </c>
      <c r="B19" s="3" t="s">
        <v>35</v>
      </c>
      <c r="C19" s="12">
        <v>2692.5790000000002</v>
      </c>
      <c r="D19" s="12"/>
      <c r="E19" s="12"/>
      <c r="F19" s="12">
        <v>2692.5790000000002</v>
      </c>
      <c r="G19" s="12"/>
      <c r="H19" s="12">
        <v>957.60400000000004</v>
      </c>
      <c r="I19" s="12"/>
      <c r="J19" s="12">
        <v>957.60400000000004</v>
      </c>
      <c r="K19" s="12"/>
      <c r="L19" s="12"/>
      <c r="M19" s="12"/>
      <c r="N19" s="12"/>
      <c r="O19" s="12"/>
      <c r="P19" s="12"/>
      <c r="Q19" s="12"/>
      <c r="R19" s="12"/>
      <c r="S19" s="12">
        <v>3650.183</v>
      </c>
      <c r="T19" s="12"/>
      <c r="U19" s="12">
        <v>3650.183</v>
      </c>
    </row>
    <row r="20" spans="1:22" x14ac:dyDescent="0.25">
      <c r="A20" s="7" t="s">
        <v>33</v>
      </c>
      <c r="B20" s="4" t="s">
        <v>68</v>
      </c>
      <c r="C20" s="13">
        <v>15508.697</v>
      </c>
      <c r="D20" s="13">
        <v>20060.853999999999</v>
      </c>
      <c r="E20" s="13">
        <v>23943.941999999999</v>
      </c>
      <c r="F20" s="13">
        <v>59513.493000000002</v>
      </c>
      <c r="G20" s="13">
        <v>15491.928</v>
      </c>
      <c r="H20" s="13">
        <v>22402.69</v>
      </c>
      <c r="I20" s="13">
        <v>15104.356</v>
      </c>
      <c r="J20" s="13">
        <v>52998.974000000002</v>
      </c>
      <c r="K20" s="13">
        <v>11614.425999999999</v>
      </c>
      <c r="L20" s="13">
        <v>17443.91</v>
      </c>
      <c r="M20" s="13">
        <v>29218.332999999999</v>
      </c>
      <c r="N20" s="13">
        <v>58276.669000000002</v>
      </c>
      <c r="O20" s="13">
        <v>18548.457999999999</v>
      </c>
      <c r="P20" s="13">
        <v>37351.337</v>
      </c>
      <c r="Q20" s="13">
        <v>40096.517</v>
      </c>
      <c r="R20" s="13">
        <v>95996.312000000005</v>
      </c>
      <c r="S20" s="13">
        <v>112512.467</v>
      </c>
      <c r="T20" s="13">
        <v>154272.981</v>
      </c>
      <c r="U20" s="13">
        <v>266785.44799999997</v>
      </c>
    </row>
    <row r="21" spans="1:22" x14ac:dyDescent="0.25">
      <c r="A21" s="7" t="s">
        <v>36</v>
      </c>
      <c r="B21" s="3" t="s">
        <v>37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>
        <v>3179.473</v>
      </c>
      <c r="N21" s="12">
        <v>3179.473</v>
      </c>
      <c r="O21" s="12"/>
      <c r="P21" s="12"/>
      <c r="Q21" s="12">
        <v>3600.3009999999999</v>
      </c>
      <c r="R21" s="12">
        <v>3600.3009999999999</v>
      </c>
      <c r="S21" s="12"/>
      <c r="T21" s="12">
        <v>6779.7740000000003</v>
      </c>
      <c r="U21" s="12">
        <v>6779.7740000000003</v>
      </c>
    </row>
    <row r="22" spans="1:22" x14ac:dyDescent="0.25">
      <c r="A22" s="7" t="s">
        <v>36</v>
      </c>
      <c r="B22" s="4" t="s">
        <v>68</v>
      </c>
      <c r="C22" s="13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3179.473</v>
      </c>
      <c r="N22" s="13">
        <v>3179.473</v>
      </c>
      <c r="O22" s="13">
        <v>0</v>
      </c>
      <c r="P22" s="13">
        <v>0</v>
      </c>
      <c r="Q22" s="13">
        <v>3600.3009999999999</v>
      </c>
      <c r="R22" s="13">
        <v>3600.3009999999999</v>
      </c>
      <c r="S22" s="13">
        <v>0</v>
      </c>
      <c r="T22" s="13">
        <v>6779.7740000000003</v>
      </c>
      <c r="U22" s="13">
        <v>6779.7740000000003</v>
      </c>
    </row>
    <row r="23" spans="1:22" x14ac:dyDescent="0.25">
      <c r="A23" s="7" t="s">
        <v>38</v>
      </c>
      <c r="B23" s="3" t="s">
        <v>39</v>
      </c>
      <c r="C23" s="12">
        <v>14.907</v>
      </c>
      <c r="D23" s="12">
        <v>513.471</v>
      </c>
      <c r="E23" s="12"/>
      <c r="F23" s="12">
        <v>528.37800000000004</v>
      </c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>
        <v>528.37800000000004</v>
      </c>
      <c r="T23" s="12"/>
      <c r="U23" s="12">
        <v>528.37800000000004</v>
      </c>
    </row>
    <row r="24" spans="1:22" x14ac:dyDescent="0.25">
      <c r="A24" s="7" t="s">
        <v>38</v>
      </c>
      <c r="B24" s="3" t="s">
        <v>40</v>
      </c>
      <c r="C24" s="12">
        <v>4752.22</v>
      </c>
      <c r="D24" s="12">
        <v>6201.01</v>
      </c>
      <c r="E24" s="12">
        <v>3405.9140000000002</v>
      </c>
      <c r="F24" s="12">
        <v>14359.144</v>
      </c>
      <c r="G24" s="12">
        <v>4171.6980000000003</v>
      </c>
      <c r="H24" s="12">
        <v>13058.867</v>
      </c>
      <c r="I24" s="12">
        <v>11237.578</v>
      </c>
      <c r="J24" s="12">
        <v>28468.143</v>
      </c>
      <c r="K24" s="12">
        <v>9729.268</v>
      </c>
      <c r="L24" s="12">
        <v>9750.4089999999997</v>
      </c>
      <c r="M24" s="12">
        <v>8600.1689999999999</v>
      </c>
      <c r="N24" s="12">
        <v>28079.846000000001</v>
      </c>
      <c r="O24" s="12">
        <v>11119.282999999999</v>
      </c>
      <c r="P24" s="12">
        <v>9455.9840000000004</v>
      </c>
      <c r="Q24" s="12">
        <v>8029.7669999999998</v>
      </c>
      <c r="R24" s="12">
        <v>28605.034</v>
      </c>
      <c r="S24" s="12">
        <v>42827.286999999997</v>
      </c>
      <c r="T24" s="12">
        <v>56684.88</v>
      </c>
      <c r="U24" s="12">
        <v>99512.167000000001</v>
      </c>
    </row>
    <row r="25" spans="1:22" x14ac:dyDescent="0.25">
      <c r="A25" s="7" t="s">
        <v>38</v>
      </c>
      <c r="B25" s="4" t="s">
        <v>68</v>
      </c>
      <c r="C25" s="13">
        <v>4767.1270000000004</v>
      </c>
      <c r="D25" s="13">
        <v>6714.4809999999998</v>
      </c>
      <c r="E25" s="13">
        <v>3405.9140000000002</v>
      </c>
      <c r="F25" s="13">
        <v>14887.522000000001</v>
      </c>
      <c r="G25" s="13">
        <v>4171.6980000000003</v>
      </c>
      <c r="H25" s="13">
        <v>13058.867</v>
      </c>
      <c r="I25" s="13">
        <v>11237.578</v>
      </c>
      <c r="J25" s="13">
        <v>28468.143</v>
      </c>
      <c r="K25" s="13">
        <v>9729.268</v>
      </c>
      <c r="L25" s="13">
        <v>9750.4089999999997</v>
      </c>
      <c r="M25" s="13">
        <v>8600.1689999999999</v>
      </c>
      <c r="N25" s="13">
        <v>28079.846000000001</v>
      </c>
      <c r="O25" s="13">
        <v>11119.282999999999</v>
      </c>
      <c r="P25" s="13">
        <v>9455.9840000000004</v>
      </c>
      <c r="Q25" s="13">
        <v>8029.7669999999998</v>
      </c>
      <c r="R25" s="13">
        <v>28605.034</v>
      </c>
      <c r="S25" s="13">
        <v>43355.665000000001</v>
      </c>
      <c r="T25" s="13">
        <v>56684.88</v>
      </c>
      <c r="U25" s="13">
        <v>100040.545</v>
      </c>
      <c r="V25" s="5">
        <f>SUM(U9,U13,U17,U20,U22,U25)</f>
        <v>3766862.7759999996</v>
      </c>
    </row>
    <row r="26" spans="1:22" x14ac:dyDescent="0.25">
      <c r="A26" s="7" t="s">
        <v>41</v>
      </c>
      <c r="B26" s="3" t="s">
        <v>41</v>
      </c>
      <c r="C26" s="12"/>
      <c r="D26" s="12">
        <v>12009.873</v>
      </c>
      <c r="E26" s="12">
        <v>159.14500000000001</v>
      </c>
      <c r="F26" s="12">
        <v>12169.018</v>
      </c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>
        <v>12169.018</v>
      </c>
      <c r="T26" s="12"/>
      <c r="U26" s="12">
        <v>12169.018</v>
      </c>
    </row>
    <row r="27" spans="1:22" x14ac:dyDescent="0.25">
      <c r="A27" s="7" t="s">
        <v>41</v>
      </c>
      <c r="B27" s="4" t="s">
        <v>68</v>
      </c>
      <c r="C27" s="13">
        <v>0</v>
      </c>
      <c r="D27" s="13">
        <v>12009.873</v>
      </c>
      <c r="E27" s="13">
        <v>159.14500000000001</v>
      </c>
      <c r="F27" s="13">
        <v>12169.018</v>
      </c>
      <c r="G27" s="13">
        <v>0</v>
      </c>
      <c r="H27" s="13">
        <v>0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12169.018</v>
      </c>
      <c r="T27" s="13">
        <v>0</v>
      </c>
      <c r="U27" s="13">
        <v>12169.018</v>
      </c>
    </row>
    <row r="28" spans="1:22" x14ac:dyDescent="0.25">
      <c r="A28" s="8" t="s">
        <v>42</v>
      </c>
      <c r="B28" s="4" t="s">
        <v>68</v>
      </c>
      <c r="C28" s="14">
        <v>280974.348</v>
      </c>
      <c r="D28" s="14">
        <v>302694.81699999998</v>
      </c>
      <c r="E28" s="14">
        <v>333864.19799999997</v>
      </c>
      <c r="F28" s="14">
        <v>917533.36300000001</v>
      </c>
      <c r="G28" s="14">
        <v>334280.96100000001</v>
      </c>
      <c r="H28" s="14">
        <v>323111.65700000001</v>
      </c>
      <c r="I28" s="14">
        <v>325467.66800000001</v>
      </c>
      <c r="J28" s="14">
        <v>982860.28599999996</v>
      </c>
      <c r="K28" s="14">
        <v>301925.74200000003</v>
      </c>
      <c r="L28" s="14">
        <v>321925.837</v>
      </c>
      <c r="M28" s="14">
        <v>291763.69699999999</v>
      </c>
      <c r="N28" s="14">
        <v>915615.27599999995</v>
      </c>
      <c r="O28" s="14">
        <v>322325.22200000001</v>
      </c>
      <c r="P28" s="14">
        <v>320860.56</v>
      </c>
      <c r="Q28" s="14">
        <v>319837.087</v>
      </c>
      <c r="R28" s="14">
        <v>963022.86899999995</v>
      </c>
      <c r="S28" s="14">
        <v>1900393.649</v>
      </c>
      <c r="T28" s="14">
        <v>1878638.145</v>
      </c>
      <c r="U28" s="14">
        <v>3779031.7940000002</v>
      </c>
    </row>
    <row r="29" spans="1:22" x14ac:dyDescent="0.25">
      <c r="A29" s="7" t="s">
        <v>43</v>
      </c>
      <c r="B29" s="3" t="s">
        <v>44</v>
      </c>
      <c r="C29" s="12">
        <v>38103.315000000002</v>
      </c>
      <c r="D29" s="12">
        <v>33678.434999999998</v>
      </c>
      <c r="E29" s="12">
        <v>37686.677000000003</v>
      </c>
      <c r="F29" s="12">
        <v>109468.427</v>
      </c>
      <c r="G29" s="12">
        <v>37752.400000000001</v>
      </c>
      <c r="H29" s="12">
        <v>31432.717000000001</v>
      </c>
      <c r="I29" s="12">
        <v>34958.286</v>
      </c>
      <c r="J29" s="12">
        <v>104143.40300000001</v>
      </c>
      <c r="K29" s="12">
        <v>32746.71</v>
      </c>
      <c r="L29" s="12">
        <v>38433.224999999999</v>
      </c>
      <c r="M29" s="12">
        <v>33091.366000000002</v>
      </c>
      <c r="N29" s="12">
        <v>104271.30100000001</v>
      </c>
      <c r="O29" s="12">
        <v>35880.709000000003</v>
      </c>
      <c r="P29" s="12">
        <v>38338.639000000003</v>
      </c>
      <c r="Q29" s="12">
        <v>37563.870999999999</v>
      </c>
      <c r="R29" s="12">
        <v>111783.219</v>
      </c>
      <c r="S29" s="12">
        <v>213611.83</v>
      </c>
      <c r="T29" s="12">
        <v>216054.52</v>
      </c>
      <c r="U29" s="12">
        <v>429666.35</v>
      </c>
    </row>
    <row r="30" spans="1:22" x14ac:dyDescent="0.25">
      <c r="A30" s="7" t="s">
        <v>43</v>
      </c>
      <c r="B30" s="4" t="s">
        <v>68</v>
      </c>
      <c r="C30" s="13">
        <v>38103.315000000002</v>
      </c>
      <c r="D30" s="13">
        <v>33678.434999999998</v>
      </c>
      <c r="E30" s="13">
        <v>37686.677000000003</v>
      </c>
      <c r="F30" s="13">
        <v>109468.427</v>
      </c>
      <c r="G30" s="13">
        <v>37752.400000000001</v>
      </c>
      <c r="H30" s="13">
        <v>31432.717000000001</v>
      </c>
      <c r="I30" s="13">
        <v>34958.286</v>
      </c>
      <c r="J30" s="13">
        <v>104143.40300000001</v>
      </c>
      <c r="K30" s="13">
        <v>32746.71</v>
      </c>
      <c r="L30" s="13">
        <v>38433.224999999999</v>
      </c>
      <c r="M30" s="13">
        <v>33091.366000000002</v>
      </c>
      <c r="N30" s="13">
        <v>104271.30100000001</v>
      </c>
      <c r="O30" s="13">
        <v>35880.709000000003</v>
      </c>
      <c r="P30" s="13">
        <v>38338.639000000003</v>
      </c>
      <c r="Q30" s="13">
        <v>37563.870999999999</v>
      </c>
      <c r="R30" s="13">
        <v>111783.219</v>
      </c>
      <c r="S30" s="13">
        <v>213611.83</v>
      </c>
      <c r="T30" s="13">
        <v>216054.52</v>
      </c>
      <c r="U30" s="13">
        <v>429666.35</v>
      </c>
    </row>
    <row r="31" spans="1:22" x14ac:dyDescent="0.25">
      <c r="A31" s="7" t="s">
        <v>45</v>
      </c>
      <c r="B31" s="3" t="s">
        <v>46</v>
      </c>
      <c r="C31" s="12">
        <v>681.42200000000003</v>
      </c>
      <c r="D31" s="12">
        <v>675.61800000000005</v>
      </c>
      <c r="E31" s="12">
        <v>1761.856</v>
      </c>
      <c r="F31" s="12">
        <v>3118.8960000000002</v>
      </c>
      <c r="G31" s="12">
        <v>2129.1790000000001</v>
      </c>
      <c r="H31" s="12">
        <v>6211.22</v>
      </c>
      <c r="I31" s="12">
        <v>2880.6790000000001</v>
      </c>
      <c r="J31" s="12">
        <v>11221.078</v>
      </c>
      <c r="K31" s="12">
        <v>3609.03</v>
      </c>
      <c r="L31" s="12">
        <v>2193.0050000000001</v>
      </c>
      <c r="M31" s="12">
        <v>1615.973</v>
      </c>
      <c r="N31" s="12">
        <v>7418.0079999999998</v>
      </c>
      <c r="O31" s="12">
        <v>2336.6039999999998</v>
      </c>
      <c r="P31" s="12">
        <v>1479.6469999999999</v>
      </c>
      <c r="Q31" s="12">
        <v>1711.9739999999999</v>
      </c>
      <c r="R31" s="12">
        <v>5528.2250000000004</v>
      </c>
      <c r="S31" s="12">
        <v>14339.974</v>
      </c>
      <c r="T31" s="12">
        <v>12946.233</v>
      </c>
      <c r="U31" s="12">
        <v>27286.206999999999</v>
      </c>
    </row>
    <row r="32" spans="1:22" x14ac:dyDescent="0.25">
      <c r="A32" s="7" t="s">
        <v>45</v>
      </c>
      <c r="B32" s="4" t="s">
        <v>68</v>
      </c>
      <c r="C32" s="13">
        <v>681.42200000000003</v>
      </c>
      <c r="D32" s="13">
        <v>675.61800000000005</v>
      </c>
      <c r="E32" s="13">
        <v>1761.856</v>
      </c>
      <c r="F32" s="13">
        <v>3118.8960000000002</v>
      </c>
      <c r="G32" s="13">
        <v>2129.1790000000001</v>
      </c>
      <c r="H32" s="13">
        <v>6211.22</v>
      </c>
      <c r="I32" s="13">
        <v>2880.6790000000001</v>
      </c>
      <c r="J32" s="13">
        <v>11221.078</v>
      </c>
      <c r="K32" s="13">
        <v>3609.03</v>
      </c>
      <c r="L32" s="13">
        <v>2193.0050000000001</v>
      </c>
      <c r="M32" s="13">
        <v>1615.973</v>
      </c>
      <c r="N32" s="13">
        <v>7418.0079999999998</v>
      </c>
      <c r="O32" s="13">
        <v>2336.6039999999998</v>
      </c>
      <c r="P32" s="13">
        <v>1479.6469999999999</v>
      </c>
      <c r="Q32" s="13">
        <v>1711.9739999999999</v>
      </c>
      <c r="R32" s="13">
        <v>5528.2250000000004</v>
      </c>
      <c r="S32" s="13">
        <v>14339.974</v>
      </c>
      <c r="T32" s="13">
        <v>12946.233</v>
      </c>
      <c r="U32" s="13">
        <v>27286.206999999999</v>
      </c>
    </row>
    <row r="33" spans="1:21" x14ac:dyDescent="0.25">
      <c r="A33" s="7" t="s">
        <v>47</v>
      </c>
      <c r="B33" s="3" t="s">
        <v>48</v>
      </c>
      <c r="C33" s="12">
        <v>4962.6899999999996</v>
      </c>
      <c r="D33" s="12">
        <v>7554.4889999999996</v>
      </c>
      <c r="E33" s="12">
        <v>8644.64</v>
      </c>
      <c r="F33" s="12">
        <v>21161.819</v>
      </c>
      <c r="G33" s="12">
        <v>9020.7639999999992</v>
      </c>
      <c r="H33" s="12">
        <v>8622.3809999999994</v>
      </c>
      <c r="I33" s="12">
        <v>9175.3340000000007</v>
      </c>
      <c r="J33" s="12">
        <v>26818.478999999999</v>
      </c>
      <c r="K33" s="12">
        <v>8183.05</v>
      </c>
      <c r="L33" s="12">
        <v>8937.2000000000007</v>
      </c>
      <c r="M33" s="12">
        <v>8442.0679999999993</v>
      </c>
      <c r="N33" s="12">
        <v>25562.317999999999</v>
      </c>
      <c r="O33" s="12">
        <v>8914.5329999999994</v>
      </c>
      <c r="P33" s="12">
        <v>9313.1200000000008</v>
      </c>
      <c r="Q33" s="12">
        <v>9396.2759999999998</v>
      </c>
      <c r="R33" s="12">
        <v>27623.929</v>
      </c>
      <c r="S33" s="12">
        <v>47980.298000000003</v>
      </c>
      <c r="T33" s="12">
        <v>53186.247000000003</v>
      </c>
      <c r="U33" s="12">
        <v>101166.545</v>
      </c>
    </row>
    <row r="34" spans="1:21" x14ac:dyDescent="0.25">
      <c r="A34" s="7" t="s">
        <v>47</v>
      </c>
      <c r="B34" s="4" t="s">
        <v>68</v>
      </c>
      <c r="C34" s="13">
        <v>4962.6899999999996</v>
      </c>
      <c r="D34" s="13">
        <v>7554.4889999999996</v>
      </c>
      <c r="E34" s="13">
        <v>8644.64</v>
      </c>
      <c r="F34" s="13">
        <v>21161.819</v>
      </c>
      <c r="G34" s="13">
        <v>9020.7639999999992</v>
      </c>
      <c r="H34" s="13">
        <v>8622.3809999999994</v>
      </c>
      <c r="I34" s="13">
        <v>9175.3340000000007</v>
      </c>
      <c r="J34" s="13">
        <v>26818.478999999999</v>
      </c>
      <c r="K34" s="13">
        <v>8183.05</v>
      </c>
      <c r="L34" s="13">
        <v>8937.2000000000007</v>
      </c>
      <c r="M34" s="13">
        <v>8442.0679999999993</v>
      </c>
      <c r="N34" s="13">
        <v>25562.317999999999</v>
      </c>
      <c r="O34" s="13">
        <v>8914.5329999999994</v>
      </c>
      <c r="P34" s="13">
        <v>9313.1200000000008</v>
      </c>
      <c r="Q34" s="13">
        <v>9396.2759999999998</v>
      </c>
      <c r="R34" s="13">
        <v>27623.929</v>
      </c>
      <c r="S34" s="13">
        <v>47980.298000000003</v>
      </c>
      <c r="T34" s="13">
        <v>53186.247000000003</v>
      </c>
      <c r="U34" s="13">
        <v>101166.545</v>
      </c>
    </row>
    <row r="35" spans="1:21" x14ac:dyDescent="0.25">
      <c r="A35" s="7" t="s">
        <v>49</v>
      </c>
      <c r="B35" s="3" t="s">
        <v>50</v>
      </c>
      <c r="C35" s="12">
        <v>11952.249</v>
      </c>
      <c r="D35" s="12">
        <v>13516.921</v>
      </c>
      <c r="E35" s="12">
        <v>15555.502</v>
      </c>
      <c r="F35" s="12">
        <v>41024.671999999999</v>
      </c>
      <c r="G35" s="12">
        <v>12736.674000000001</v>
      </c>
      <c r="H35" s="12">
        <v>12928.129000000001</v>
      </c>
      <c r="I35" s="12">
        <v>11557.914000000001</v>
      </c>
      <c r="J35" s="12">
        <v>37222.716999999997</v>
      </c>
      <c r="K35" s="12">
        <v>13613.933999999999</v>
      </c>
      <c r="L35" s="12">
        <v>13854.887000000001</v>
      </c>
      <c r="M35" s="12">
        <v>12642.624</v>
      </c>
      <c r="N35" s="12">
        <v>40111.445</v>
      </c>
      <c r="O35" s="12">
        <v>14338.364</v>
      </c>
      <c r="P35" s="12">
        <v>13449.460999999999</v>
      </c>
      <c r="Q35" s="12">
        <v>13392.88</v>
      </c>
      <c r="R35" s="12">
        <v>41180.705000000002</v>
      </c>
      <c r="S35" s="12">
        <v>78247.388999999996</v>
      </c>
      <c r="T35" s="12">
        <v>81292.149999999994</v>
      </c>
      <c r="U35" s="12">
        <v>159539.53899999999</v>
      </c>
    </row>
    <row r="36" spans="1:21" x14ac:dyDescent="0.25">
      <c r="A36" s="7" t="s">
        <v>49</v>
      </c>
      <c r="B36" s="4" t="s">
        <v>68</v>
      </c>
      <c r="C36" s="13">
        <v>11952.249</v>
      </c>
      <c r="D36" s="13">
        <v>13516.921</v>
      </c>
      <c r="E36" s="13">
        <v>15555.502</v>
      </c>
      <c r="F36" s="13">
        <v>41024.671999999999</v>
      </c>
      <c r="G36" s="13">
        <v>12736.674000000001</v>
      </c>
      <c r="H36" s="13">
        <v>12928.129000000001</v>
      </c>
      <c r="I36" s="13">
        <v>11557.914000000001</v>
      </c>
      <c r="J36" s="13">
        <v>37222.716999999997</v>
      </c>
      <c r="K36" s="13">
        <v>13613.933999999999</v>
      </c>
      <c r="L36" s="13">
        <v>13854.887000000001</v>
      </c>
      <c r="M36" s="13">
        <v>12642.624</v>
      </c>
      <c r="N36" s="13">
        <v>40111.445</v>
      </c>
      <c r="O36" s="13">
        <v>14338.364</v>
      </c>
      <c r="P36" s="13">
        <v>13449.460999999999</v>
      </c>
      <c r="Q36" s="13">
        <v>13392.88</v>
      </c>
      <c r="R36" s="13">
        <v>41180.705000000002</v>
      </c>
      <c r="S36" s="13">
        <v>78247.388999999996</v>
      </c>
      <c r="T36" s="13">
        <v>81292.149999999994</v>
      </c>
      <c r="U36" s="13">
        <v>159539.53899999999</v>
      </c>
    </row>
    <row r="37" spans="1:21" x14ac:dyDescent="0.25">
      <c r="A37" s="8" t="s">
        <v>51</v>
      </c>
      <c r="B37" s="4" t="s">
        <v>68</v>
      </c>
      <c r="C37" s="14">
        <v>55699.675999999999</v>
      </c>
      <c r="D37" s="14">
        <v>55425.463000000003</v>
      </c>
      <c r="E37" s="14">
        <v>63648.675000000003</v>
      </c>
      <c r="F37" s="14">
        <v>174773.81400000001</v>
      </c>
      <c r="G37" s="14">
        <v>61639.017</v>
      </c>
      <c r="H37" s="14">
        <v>59194.447</v>
      </c>
      <c r="I37" s="14">
        <v>58572.213000000003</v>
      </c>
      <c r="J37" s="14">
        <v>179405.677</v>
      </c>
      <c r="K37" s="14">
        <v>58152.724000000002</v>
      </c>
      <c r="L37" s="14">
        <v>63418.317000000003</v>
      </c>
      <c r="M37" s="14">
        <v>55792.031000000003</v>
      </c>
      <c r="N37" s="14">
        <v>177363.07199999999</v>
      </c>
      <c r="O37" s="14">
        <v>61470.21</v>
      </c>
      <c r="P37" s="14">
        <v>62580.866999999998</v>
      </c>
      <c r="Q37" s="14">
        <v>62065.000999999997</v>
      </c>
      <c r="R37" s="14">
        <v>186116.07800000001</v>
      </c>
      <c r="S37" s="14">
        <v>354179.49099999998</v>
      </c>
      <c r="T37" s="14">
        <v>363479.15</v>
      </c>
      <c r="U37" s="14">
        <v>717658.64099999995</v>
      </c>
    </row>
    <row r="38" spans="1:21" x14ac:dyDescent="0.25">
      <c r="A38" s="9" t="s">
        <v>52</v>
      </c>
      <c r="B38" s="9" t="s">
        <v>68</v>
      </c>
      <c r="C38" s="15">
        <v>336674.02399999998</v>
      </c>
      <c r="D38" s="15">
        <v>358120.28</v>
      </c>
      <c r="E38" s="15">
        <v>397512.87300000002</v>
      </c>
      <c r="F38" s="15">
        <v>1092307.1769999999</v>
      </c>
      <c r="G38" s="15">
        <v>395919.978</v>
      </c>
      <c r="H38" s="15">
        <v>382306.10399999999</v>
      </c>
      <c r="I38" s="15">
        <v>384039.88099999999</v>
      </c>
      <c r="J38" s="15">
        <v>1162265.963</v>
      </c>
      <c r="K38" s="15">
        <v>360078.46600000001</v>
      </c>
      <c r="L38" s="15">
        <v>385344.15399999998</v>
      </c>
      <c r="M38" s="15">
        <v>347555.728</v>
      </c>
      <c r="N38" s="15">
        <v>1092978.348</v>
      </c>
      <c r="O38" s="15">
        <v>383795.43199999997</v>
      </c>
      <c r="P38" s="15">
        <v>383441.42700000003</v>
      </c>
      <c r="Q38" s="15">
        <v>381902.08799999999</v>
      </c>
      <c r="R38" s="15">
        <v>1149138.9469999999</v>
      </c>
      <c r="S38" s="15">
        <v>2254573.14</v>
      </c>
      <c r="T38" s="15">
        <v>2242117.2949999999</v>
      </c>
      <c r="U38" s="15">
        <v>4496690.4349999996</v>
      </c>
    </row>
    <row r="39" spans="1:21" x14ac:dyDescent="0.25">
      <c r="A39" s="7" t="s">
        <v>53</v>
      </c>
      <c r="B39" s="3" t="s">
        <v>54</v>
      </c>
      <c r="C39" s="12">
        <v>86019.197</v>
      </c>
      <c r="D39" s="12">
        <v>91573.794999999998</v>
      </c>
      <c r="E39" s="12">
        <v>86202.644</v>
      </c>
      <c r="F39" s="12">
        <v>263795.636</v>
      </c>
      <c r="G39" s="12">
        <v>86965.884000000005</v>
      </c>
      <c r="H39" s="12">
        <v>94907.172000000006</v>
      </c>
      <c r="I39" s="12">
        <v>88076.847999999998</v>
      </c>
      <c r="J39" s="12">
        <v>269949.90399999998</v>
      </c>
      <c r="K39" s="12">
        <v>92407.854999999996</v>
      </c>
      <c r="L39" s="12">
        <v>85862.392999999996</v>
      </c>
      <c r="M39" s="12">
        <v>81258.915999999997</v>
      </c>
      <c r="N39" s="12">
        <v>259529.16399999999</v>
      </c>
      <c r="O39" s="12">
        <v>91252.687000000005</v>
      </c>
      <c r="P39" s="12">
        <v>83207.695000000007</v>
      </c>
      <c r="Q39" s="12">
        <v>86834.172000000006</v>
      </c>
      <c r="R39" s="12">
        <v>261294.554</v>
      </c>
      <c r="S39" s="12">
        <v>533745.54</v>
      </c>
      <c r="T39" s="12">
        <v>520823.71799999999</v>
      </c>
      <c r="U39" s="12">
        <v>1054569.2579999999</v>
      </c>
    </row>
    <row r="40" spans="1:21" x14ac:dyDescent="0.25">
      <c r="A40" s="7" t="s">
        <v>53</v>
      </c>
      <c r="B40" s="3" t="s">
        <v>55</v>
      </c>
      <c r="C40" s="12">
        <v>48523.637000000002</v>
      </c>
      <c r="D40" s="12">
        <v>58779.334999999999</v>
      </c>
      <c r="E40" s="12">
        <v>66558.434999999998</v>
      </c>
      <c r="F40" s="12">
        <v>173861.40700000001</v>
      </c>
      <c r="G40" s="12">
        <v>69087.528000000006</v>
      </c>
      <c r="H40" s="12">
        <v>68701.94</v>
      </c>
      <c r="I40" s="12">
        <v>76115.675000000003</v>
      </c>
      <c r="J40" s="12">
        <v>213905.14300000001</v>
      </c>
      <c r="K40" s="12">
        <v>70701.951000000001</v>
      </c>
      <c r="L40" s="12">
        <v>62884.275000000001</v>
      </c>
      <c r="M40" s="12">
        <v>65310.563999999998</v>
      </c>
      <c r="N40" s="12">
        <v>198896.79</v>
      </c>
      <c r="O40" s="12">
        <v>75652.835999999996</v>
      </c>
      <c r="P40" s="12">
        <v>74337.372000000003</v>
      </c>
      <c r="Q40" s="12">
        <v>60343.531999999999</v>
      </c>
      <c r="R40" s="12">
        <v>210333.74</v>
      </c>
      <c r="S40" s="12">
        <v>387766.55</v>
      </c>
      <c r="T40" s="12">
        <v>409230.53</v>
      </c>
      <c r="U40" s="12">
        <v>796997.08</v>
      </c>
    </row>
    <row r="41" spans="1:21" x14ac:dyDescent="0.25">
      <c r="A41" s="7" t="s">
        <v>53</v>
      </c>
      <c r="B41" s="4" t="s">
        <v>68</v>
      </c>
      <c r="C41" s="13">
        <v>134542.834</v>
      </c>
      <c r="D41" s="13">
        <v>150353.13</v>
      </c>
      <c r="E41" s="13">
        <v>152761.079</v>
      </c>
      <c r="F41" s="13">
        <v>437657.04300000001</v>
      </c>
      <c r="G41" s="13">
        <v>156053.41200000001</v>
      </c>
      <c r="H41" s="13">
        <v>163609.11199999999</v>
      </c>
      <c r="I41" s="13">
        <v>164192.52299999999</v>
      </c>
      <c r="J41" s="13">
        <v>483855.04700000002</v>
      </c>
      <c r="K41" s="13">
        <v>163109.80600000001</v>
      </c>
      <c r="L41" s="13">
        <v>148746.66800000001</v>
      </c>
      <c r="M41" s="13">
        <v>146569.48000000001</v>
      </c>
      <c r="N41" s="13">
        <v>458425.95400000003</v>
      </c>
      <c r="O41" s="13">
        <v>166905.52299999999</v>
      </c>
      <c r="P41" s="13">
        <v>157545.06700000001</v>
      </c>
      <c r="Q41" s="13">
        <v>147177.704</v>
      </c>
      <c r="R41" s="13">
        <v>471628.29399999999</v>
      </c>
      <c r="S41" s="13">
        <v>921512.09</v>
      </c>
      <c r="T41" s="13">
        <v>930054.24800000002</v>
      </c>
      <c r="U41" s="13">
        <v>1851566.338</v>
      </c>
    </row>
    <row r="42" spans="1:21" x14ac:dyDescent="0.25">
      <c r="A42" s="9" t="s">
        <v>56</v>
      </c>
      <c r="B42" s="10"/>
      <c r="C42" s="15">
        <v>134542.834</v>
      </c>
      <c r="D42" s="15">
        <v>150353.13</v>
      </c>
      <c r="E42" s="15">
        <v>152761.079</v>
      </c>
      <c r="F42" s="15">
        <v>437657.04300000001</v>
      </c>
      <c r="G42" s="15">
        <v>156053.41200000001</v>
      </c>
      <c r="H42" s="15">
        <v>163609.11199999999</v>
      </c>
      <c r="I42" s="15">
        <v>164192.52299999999</v>
      </c>
      <c r="J42" s="15">
        <v>483855.04700000002</v>
      </c>
      <c r="K42" s="15">
        <v>163109.80600000001</v>
      </c>
      <c r="L42" s="15">
        <v>148746.66800000001</v>
      </c>
      <c r="M42" s="15">
        <v>146569.48000000001</v>
      </c>
      <c r="N42" s="15">
        <v>458425.95400000003</v>
      </c>
      <c r="O42" s="15">
        <v>166905.52299999999</v>
      </c>
      <c r="P42" s="15">
        <v>157545.06700000001</v>
      </c>
      <c r="Q42" s="15">
        <v>147177.704</v>
      </c>
      <c r="R42" s="15">
        <v>471628.29399999999</v>
      </c>
      <c r="S42" s="15">
        <v>921512.09</v>
      </c>
      <c r="T42" s="15">
        <v>930054.24800000002</v>
      </c>
      <c r="U42" s="15">
        <v>1851566.338</v>
      </c>
    </row>
    <row r="43" spans="1:21" x14ac:dyDescent="0.25">
      <c r="A43" s="7" t="s">
        <v>57</v>
      </c>
      <c r="B43" s="3" t="s">
        <v>58</v>
      </c>
      <c r="C43" s="12">
        <v>8830.2690000000002</v>
      </c>
      <c r="D43" s="12">
        <v>8603.8680000000004</v>
      </c>
      <c r="E43" s="12">
        <v>8813.7450000000008</v>
      </c>
      <c r="F43" s="12">
        <v>26247.882000000001</v>
      </c>
      <c r="G43" s="12">
        <v>9923.634</v>
      </c>
      <c r="H43" s="12">
        <v>9219.23</v>
      </c>
      <c r="I43" s="12">
        <v>9098.866</v>
      </c>
      <c r="J43" s="12">
        <v>28241.73</v>
      </c>
      <c r="K43" s="12">
        <v>5522.1239999999998</v>
      </c>
      <c r="L43" s="12">
        <v>8763.7659999999996</v>
      </c>
      <c r="M43" s="12">
        <v>8768.8729999999996</v>
      </c>
      <c r="N43" s="12">
        <v>23054.762999999999</v>
      </c>
      <c r="O43" s="12">
        <v>9694.83</v>
      </c>
      <c r="P43" s="12">
        <v>7580.6779999999999</v>
      </c>
      <c r="Q43" s="12">
        <v>287.17700000000002</v>
      </c>
      <c r="R43" s="12">
        <v>17562.685000000001</v>
      </c>
      <c r="S43" s="12">
        <v>54489.612000000001</v>
      </c>
      <c r="T43" s="12">
        <v>40617.447999999997</v>
      </c>
      <c r="U43" s="12">
        <v>95107.06</v>
      </c>
    </row>
    <row r="44" spans="1:21" x14ac:dyDescent="0.25">
      <c r="A44" s="7" t="s">
        <v>57</v>
      </c>
      <c r="B44" s="3" t="s">
        <v>59</v>
      </c>
      <c r="C44" s="12"/>
      <c r="D44" s="12"/>
      <c r="E44" s="12"/>
      <c r="F44" s="12"/>
      <c r="G44" s="12"/>
      <c r="H44" s="12"/>
      <c r="I44" s="12"/>
      <c r="J44" s="12"/>
      <c r="K44" s="12">
        <v>2427.085</v>
      </c>
      <c r="L44" s="12"/>
      <c r="M44" s="12"/>
      <c r="N44" s="12">
        <v>2427.085</v>
      </c>
      <c r="O44" s="12"/>
      <c r="P44" s="12"/>
      <c r="Q44" s="12">
        <v>368.95400000000001</v>
      </c>
      <c r="R44" s="12">
        <v>368.95400000000001</v>
      </c>
      <c r="S44" s="12"/>
      <c r="T44" s="12">
        <v>2796.0390000000002</v>
      </c>
      <c r="U44" s="12">
        <v>2796.0390000000002</v>
      </c>
    </row>
    <row r="45" spans="1:21" x14ac:dyDescent="0.25">
      <c r="A45" s="7" t="s">
        <v>57</v>
      </c>
      <c r="B45" s="3" t="s">
        <v>60</v>
      </c>
      <c r="C45" s="12"/>
      <c r="D45" s="12"/>
      <c r="E45" s="12"/>
      <c r="F45" s="12"/>
      <c r="G45" s="12"/>
      <c r="H45" s="12"/>
      <c r="I45" s="12"/>
      <c r="J45" s="12"/>
      <c r="K45" s="12"/>
      <c r="L45" s="12">
        <v>39.996000000000002</v>
      </c>
      <c r="M45" s="12"/>
      <c r="N45" s="12">
        <v>39.996000000000002</v>
      </c>
      <c r="O45" s="12"/>
      <c r="P45" s="12">
        <v>2074.0520000000001</v>
      </c>
      <c r="Q45" s="12"/>
      <c r="R45" s="12">
        <v>2074.0520000000001</v>
      </c>
      <c r="S45" s="12"/>
      <c r="T45" s="12">
        <v>2114.0479999999998</v>
      </c>
      <c r="U45" s="12">
        <v>2114.0479999999998</v>
      </c>
    </row>
    <row r="46" spans="1:21" x14ac:dyDescent="0.25">
      <c r="A46" s="7" t="s">
        <v>57</v>
      </c>
      <c r="B46" s="3" t="s">
        <v>61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>
        <v>8435.8919999999998</v>
      </c>
      <c r="R46" s="12">
        <v>8435.8919999999998</v>
      </c>
      <c r="S46" s="12"/>
      <c r="T46" s="12">
        <v>8435.8919999999998</v>
      </c>
      <c r="U46" s="12">
        <v>8435.8919999999998</v>
      </c>
    </row>
    <row r="47" spans="1:21" x14ac:dyDescent="0.25">
      <c r="A47" s="7" t="s">
        <v>57</v>
      </c>
      <c r="B47" s="3" t="s">
        <v>62</v>
      </c>
      <c r="C47" s="12"/>
      <c r="D47" s="12"/>
      <c r="E47" s="12"/>
      <c r="F47" s="12"/>
      <c r="G47" s="12"/>
      <c r="H47" s="12"/>
      <c r="I47" s="12"/>
      <c r="J47" s="12"/>
      <c r="K47" s="12">
        <v>201.87299999999999</v>
      </c>
      <c r="L47" s="12"/>
      <c r="M47" s="12"/>
      <c r="N47" s="12">
        <v>201.87299999999999</v>
      </c>
      <c r="O47" s="12"/>
      <c r="P47" s="12"/>
      <c r="Q47" s="12"/>
      <c r="R47" s="12"/>
      <c r="S47" s="12"/>
      <c r="T47" s="12">
        <v>201.87299999999999</v>
      </c>
      <c r="U47" s="12">
        <v>201.87299999999999</v>
      </c>
    </row>
    <row r="48" spans="1:21" x14ac:dyDescent="0.25">
      <c r="A48" s="7" t="s">
        <v>57</v>
      </c>
      <c r="B48" s="4" t="s">
        <v>68</v>
      </c>
      <c r="C48" s="13">
        <v>8830.2690000000002</v>
      </c>
      <c r="D48" s="13">
        <v>8603.8680000000004</v>
      </c>
      <c r="E48" s="13">
        <v>8813.7450000000008</v>
      </c>
      <c r="F48" s="13">
        <v>26247.882000000001</v>
      </c>
      <c r="G48" s="13">
        <v>9923.634</v>
      </c>
      <c r="H48" s="13">
        <v>9219.23</v>
      </c>
      <c r="I48" s="13">
        <v>9098.866</v>
      </c>
      <c r="J48" s="13">
        <v>28241.73</v>
      </c>
      <c r="K48" s="13">
        <v>8151.0820000000003</v>
      </c>
      <c r="L48" s="13">
        <v>8803.7620000000006</v>
      </c>
      <c r="M48" s="13">
        <v>8768.8729999999996</v>
      </c>
      <c r="N48" s="13">
        <v>25723.717000000001</v>
      </c>
      <c r="O48" s="13">
        <v>9694.83</v>
      </c>
      <c r="P48" s="13">
        <v>9654.73</v>
      </c>
      <c r="Q48" s="13">
        <v>9092.0229999999992</v>
      </c>
      <c r="R48" s="13">
        <v>28441.582999999999</v>
      </c>
      <c r="S48" s="13">
        <v>54489.612000000001</v>
      </c>
      <c r="T48" s="13">
        <v>54165.3</v>
      </c>
      <c r="U48" s="13">
        <v>108654.912</v>
      </c>
    </row>
    <row r="49" spans="1:21" x14ac:dyDescent="0.25">
      <c r="A49" s="7" t="s">
        <v>63</v>
      </c>
      <c r="B49" s="3" t="s">
        <v>64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</row>
    <row r="50" spans="1:21" x14ac:dyDescent="0.25">
      <c r="A50" s="7" t="s">
        <v>63</v>
      </c>
      <c r="B50" s="4" t="s">
        <v>68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</row>
    <row r="51" spans="1:21" x14ac:dyDescent="0.25">
      <c r="A51" s="7" t="s">
        <v>65</v>
      </c>
      <c r="B51" s="3" t="s">
        <v>65</v>
      </c>
      <c r="C51" s="12">
        <v>9042.3109999999997</v>
      </c>
      <c r="D51" s="12">
        <v>10620.259</v>
      </c>
      <c r="E51" s="12">
        <v>12765.641</v>
      </c>
      <c r="F51" s="12">
        <v>32428.210999999999</v>
      </c>
      <c r="G51" s="12">
        <v>11698.805</v>
      </c>
      <c r="H51" s="12">
        <v>11490.526</v>
      </c>
      <c r="I51" s="12">
        <v>11323.252</v>
      </c>
      <c r="J51" s="12">
        <v>34512.582999999999</v>
      </c>
      <c r="K51" s="12">
        <v>11089.984</v>
      </c>
      <c r="L51" s="12">
        <v>11671.307000000001</v>
      </c>
      <c r="M51" s="12">
        <v>10049.299999999999</v>
      </c>
      <c r="N51" s="12">
        <v>32810.591</v>
      </c>
      <c r="O51" s="12">
        <v>11181.294</v>
      </c>
      <c r="P51" s="12">
        <v>10950.243</v>
      </c>
      <c r="Q51" s="12">
        <v>11440.914000000001</v>
      </c>
      <c r="R51" s="12">
        <v>33572.451000000001</v>
      </c>
      <c r="S51" s="12">
        <v>66940.793999999994</v>
      </c>
      <c r="T51" s="12">
        <v>66383.042000000001</v>
      </c>
      <c r="U51" s="12">
        <v>133323.83600000001</v>
      </c>
    </row>
    <row r="52" spans="1:21" x14ac:dyDescent="0.25">
      <c r="A52" s="7" t="s">
        <v>65</v>
      </c>
      <c r="B52" s="4" t="s">
        <v>68</v>
      </c>
      <c r="C52" s="13">
        <v>9042.3109999999997</v>
      </c>
      <c r="D52" s="13">
        <v>10620.259</v>
      </c>
      <c r="E52" s="13">
        <v>12765.641</v>
      </c>
      <c r="F52" s="13">
        <v>32428.210999999999</v>
      </c>
      <c r="G52" s="13">
        <v>11698.805</v>
      </c>
      <c r="H52" s="13">
        <v>11490.526</v>
      </c>
      <c r="I52" s="13">
        <v>11323.252</v>
      </c>
      <c r="J52" s="13">
        <v>34512.582999999999</v>
      </c>
      <c r="K52" s="13">
        <v>11089.984</v>
      </c>
      <c r="L52" s="13">
        <v>11671.307000000001</v>
      </c>
      <c r="M52" s="13">
        <v>10049.299999999999</v>
      </c>
      <c r="N52" s="13">
        <v>32810.591</v>
      </c>
      <c r="O52" s="13">
        <v>11181.294</v>
      </c>
      <c r="P52" s="13">
        <v>10950.243</v>
      </c>
      <c r="Q52" s="13">
        <v>11440.914000000001</v>
      </c>
      <c r="R52" s="13">
        <v>33572.451000000001</v>
      </c>
      <c r="S52" s="13">
        <v>66940.793999999994</v>
      </c>
      <c r="T52" s="13">
        <v>66383.042000000001</v>
      </c>
      <c r="U52" s="13">
        <v>133323.83600000001</v>
      </c>
    </row>
    <row r="53" spans="1:21" x14ac:dyDescent="0.25">
      <c r="A53" s="9" t="s">
        <v>66</v>
      </c>
      <c r="B53" s="4" t="s">
        <v>68</v>
      </c>
      <c r="C53" s="15">
        <v>17872.580000000002</v>
      </c>
      <c r="D53" s="15">
        <v>19224.127</v>
      </c>
      <c r="E53" s="15">
        <v>21579.385999999999</v>
      </c>
      <c r="F53" s="15">
        <v>58676.093000000001</v>
      </c>
      <c r="G53" s="15">
        <v>21622.438999999998</v>
      </c>
      <c r="H53" s="15">
        <v>20709.756000000001</v>
      </c>
      <c r="I53" s="15">
        <v>20422.117999999999</v>
      </c>
      <c r="J53" s="15">
        <v>62754.313000000002</v>
      </c>
      <c r="K53" s="15">
        <v>19241.065999999999</v>
      </c>
      <c r="L53" s="15">
        <v>20475.069</v>
      </c>
      <c r="M53" s="15">
        <v>18818.172999999999</v>
      </c>
      <c r="N53" s="15">
        <v>58534.307999999997</v>
      </c>
      <c r="O53" s="15">
        <v>20876.124</v>
      </c>
      <c r="P53" s="15">
        <v>20604.973000000002</v>
      </c>
      <c r="Q53" s="15">
        <v>20532.937000000002</v>
      </c>
      <c r="R53" s="15">
        <v>62014.034</v>
      </c>
      <c r="S53" s="15">
        <v>121430.406</v>
      </c>
      <c r="T53" s="15">
        <v>120548.342</v>
      </c>
      <c r="U53" s="15">
        <v>241978.74799999999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2026-03-25T06:22:33Z</dcterms:created>
  <dcterms:modified xsi:type="dcterms:W3CDTF">2026-03-31T06:50:25Z</dcterms:modified>
</cp:coreProperties>
</file>